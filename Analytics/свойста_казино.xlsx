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nity\Project\Brackeys-Game-Jam\Analytics\"/>
    </mc:Choice>
  </mc:AlternateContent>
  <xr:revisionPtr revIDLastSave="0" documentId="13_ncr:1_{DCDCD76D-6A1A-443A-8DD0-22B2BF76073B}" xr6:coauthVersionLast="45" xr6:coauthVersionMax="45" xr10:uidLastSave="{00000000-0000-0000-0000-000000000000}"/>
  <bookViews>
    <workbookView xWindow="-120" yWindow="-120" windowWidth="29040" windowHeight="15840" activeTab="1" xr2:uid="{28298931-A808-4930-B925-C5E4854C6B70}"/>
  </bookViews>
  <sheets>
    <sheet name="Ингридиенты" sheetId="1" r:id="rId1"/>
    <sheet name="Зелья" sheetId="2" r:id="rId2"/>
    <sheet name="Дата сет" sheetId="3" r:id="rId3"/>
    <sheet name="Анализ зелий" sheetId="8" r:id="rId4"/>
    <sheet name="NPCs" sheetId="11" r:id="rId5"/>
    <sheet name="Анализ крафта" sheetId="9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2" l="1"/>
  <c r="B24" i="11" l="1"/>
  <c r="B26" i="11"/>
  <c r="C3" i="11"/>
  <c r="C5" i="11"/>
  <c r="C7" i="11"/>
  <c r="D7" i="11"/>
  <c r="C9" i="11"/>
  <c r="D9" i="11"/>
  <c r="C11" i="11"/>
  <c r="D11" i="11"/>
  <c r="C13" i="11"/>
  <c r="D13" i="11"/>
  <c r="E13" i="11"/>
  <c r="F13" i="11"/>
  <c r="C15" i="11"/>
  <c r="C17" i="11"/>
  <c r="D17" i="11"/>
  <c r="C19" i="11"/>
  <c r="D19" i="11"/>
  <c r="C21" i="11"/>
  <c r="B21" i="11"/>
  <c r="B19" i="11"/>
  <c r="B17" i="11"/>
  <c r="B15" i="11"/>
  <c r="B13" i="11"/>
  <c r="B11" i="11"/>
  <c r="B9" i="11"/>
  <c r="B7" i="11"/>
  <c r="B5" i="11"/>
  <c r="B3" i="11"/>
  <c r="D5" i="2" l="1"/>
  <c r="C4" i="9" l="1"/>
  <c r="D4" i="9"/>
  <c r="E4" i="9"/>
  <c r="F4" i="9"/>
  <c r="G4" i="9"/>
  <c r="H4" i="9"/>
  <c r="I4" i="9"/>
  <c r="J4" i="9"/>
  <c r="K4" i="9"/>
  <c r="L4" i="9"/>
  <c r="M4" i="9"/>
  <c r="C5" i="9"/>
  <c r="D5" i="9"/>
  <c r="E5" i="9"/>
  <c r="F5" i="9"/>
  <c r="G5" i="9"/>
  <c r="H5" i="9"/>
  <c r="I5" i="9"/>
  <c r="J5" i="9"/>
  <c r="K5" i="9"/>
  <c r="L5" i="9"/>
  <c r="M5" i="9"/>
  <c r="C6" i="9"/>
  <c r="D6" i="9"/>
  <c r="E6" i="9"/>
  <c r="F6" i="9"/>
  <c r="G6" i="9"/>
  <c r="H6" i="9"/>
  <c r="I6" i="9"/>
  <c r="J6" i="9"/>
  <c r="K6" i="9"/>
  <c r="L6" i="9"/>
  <c r="M6" i="9"/>
  <c r="C7" i="9"/>
  <c r="D7" i="9"/>
  <c r="E7" i="9"/>
  <c r="F7" i="9"/>
  <c r="G7" i="9"/>
  <c r="H7" i="9"/>
  <c r="I7" i="9"/>
  <c r="J7" i="9"/>
  <c r="K7" i="9"/>
  <c r="L7" i="9"/>
  <c r="M7" i="9"/>
  <c r="C8" i="9"/>
  <c r="D8" i="9"/>
  <c r="E8" i="9"/>
  <c r="F8" i="9"/>
  <c r="G8" i="9"/>
  <c r="H8" i="9"/>
  <c r="I8" i="9"/>
  <c r="J8" i="9"/>
  <c r="K8" i="9"/>
  <c r="L8" i="9"/>
  <c r="M8" i="9"/>
  <c r="C9" i="9"/>
  <c r="D9" i="9"/>
  <c r="E9" i="9"/>
  <c r="F9" i="9"/>
  <c r="G9" i="9"/>
  <c r="H9" i="9"/>
  <c r="I9" i="9"/>
  <c r="J9" i="9"/>
  <c r="K9" i="9"/>
  <c r="L9" i="9"/>
  <c r="M9" i="9"/>
  <c r="C10" i="9"/>
  <c r="D10" i="9"/>
  <c r="E10" i="9"/>
  <c r="F10" i="9"/>
  <c r="G10" i="9"/>
  <c r="H10" i="9"/>
  <c r="I10" i="9"/>
  <c r="J10" i="9"/>
  <c r="K10" i="9"/>
  <c r="L10" i="9"/>
  <c r="M10" i="9"/>
  <c r="C11" i="9"/>
  <c r="D11" i="9"/>
  <c r="E11" i="9"/>
  <c r="F11" i="9"/>
  <c r="G11" i="9"/>
  <c r="H11" i="9"/>
  <c r="I11" i="9"/>
  <c r="J11" i="9"/>
  <c r="K11" i="9"/>
  <c r="L11" i="9"/>
  <c r="M11" i="9"/>
  <c r="B7" i="9"/>
  <c r="B8" i="9"/>
  <c r="B9" i="9"/>
  <c r="B10" i="9"/>
  <c r="B11" i="9"/>
  <c r="B6" i="9"/>
  <c r="B5" i="9"/>
  <c r="B4" i="9"/>
  <c r="C3" i="9"/>
  <c r="D3" i="9"/>
  <c r="E3" i="9"/>
  <c r="F3" i="9"/>
  <c r="G3" i="9"/>
  <c r="H3" i="9"/>
  <c r="I3" i="9"/>
  <c r="J3" i="9"/>
  <c r="K3" i="9"/>
  <c r="L3" i="9"/>
  <c r="M3" i="9"/>
  <c r="B3" i="9"/>
  <c r="B4" i="2"/>
  <c r="F4" i="2"/>
  <c r="G4" i="2"/>
  <c r="H4" i="2"/>
  <c r="E4" i="1"/>
  <c r="E8" i="1" l="1"/>
  <c r="E7" i="1"/>
  <c r="E5" i="1"/>
  <c r="E6" i="1"/>
  <c r="E9" i="1"/>
  <c r="G4" i="1"/>
  <c r="H4" i="1"/>
  <c r="F4" i="1"/>
</calcChain>
</file>

<file path=xl/sharedStrings.xml><?xml version="1.0" encoding="utf-8"?>
<sst xmlns="http://schemas.openxmlformats.org/spreadsheetml/2006/main" count="110" uniqueCount="87">
  <si>
    <t>ID</t>
  </si>
  <si>
    <t>Название</t>
  </si>
  <si>
    <t>Описание</t>
  </si>
  <si>
    <t>Энергия</t>
  </si>
  <si>
    <t>Основные свойства</t>
  </si>
  <si>
    <t>Стабильность</t>
  </si>
  <si>
    <t>Длительность</t>
  </si>
  <si>
    <t>Токсичность</t>
  </si>
  <si>
    <t>Цена</t>
  </si>
  <si>
    <t>Эффект катализатора</t>
  </si>
  <si>
    <t>Сложность</t>
  </si>
  <si>
    <t>Лечения </t>
  </si>
  <si>
    <t>Бодрости </t>
  </si>
  <si>
    <t>Ясновидения</t>
  </si>
  <si>
    <t>Ледяное Сердце</t>
  </si>
  <si>
    <t>Сердце, пропитанное вечным холодом, забирает жизненную энергию и изменяет структуру вещества, успокаивая бурные эмоции, инертное.</t>
  </si>
  <si>
    <t>Фрагмент расколотого мира, порождает ненависть и разъединяет связи, ослабляя природные энергии.</t>
  </si>
  <si>
    <t>Прихоть Судьбы</t>
  </si>
  <si>
    <t>Дарит бодрость и ясность ума, наполняет теплом и светом.</t>
  </si>
  <si>
    <t>Обладает магической энергией, может изменять форму предметов и ускорять рост.</t>
  </si>
  <si>
    <t>Непредсказуемо влияет на дополнительные свойства зелья, делая каждое зелье уникальным.</t>
  </si>
  <si>
    <t>Скорости</t>
  </si>
  <si>
    <t>Умиротворения </t>
  </si>
  <si>
    <t>Ингридиенты</t>
  </si>
  <si>
    <t>Ночного Зрения</t>
  </si>
  <si>
    <t>Выносливости</t>
  </si>
  <si>
    <t>Огненной Защиты</t>
  </si>
  <si>
    <t>Силы</t>
  </si>
  <si>
    <t>Energy</t>
  </si>
  <si>
    <t>Хаотичный</t>
  </si>
  <si>
    <t>Мудрость</t>
  </si>
  <si>
    <t>Magic</t>
  </si>
  <si>
    <t>Магия</t>
  </si>
  <si>
    <t>Первичный</t>
  </si>
  <si>
    <t>Duration</t>
  </si>
  <si>
    <t>Кристал Бездны</t>
  </si>
  <si>
    <t>Отравления</t>
  </si>
  <si>
    <t>Слабости</t>
  </si>
  <si>
    <t>Заказ</t>
  </si>
  <si>
    <t>Заказчик</t>
  </si>
  <si>
    <t>Получено</t>
  </si>
  <si>
    <t>Кол-во</t>
  </si>
  <si>
    <t>Названия строк</t>
  </si>
  <si>
    <t>(пусто)</t>
  </si>
  <si>
    <t>Общий итог</t>
  </si>
  <si>
    <t>Популярность</t>
  </si>
  <si>
    <t>Grimbold</t>
  </si>
  <si>
    <t>Eldar</t>
  </si>
  <si>
    <t>Mirabella</t>
  </si>
  <si>
    <t>Seraphina</t>
  </si>
  <si>
    <t>Grail</t>
  </si>
  <si>
    <t>Theodore</t>
  </si>
  <si>
    <t>Кол-во ингридиентов</t>
  </si>
  <si>
    <t>Мин</t>
  </si>
  <si>
    <t>Макс</t>
  </si>
  <si>
    <t>Заказано</t>
  </si>
  <si>
    <t>Isolde</t>
  </si>
  <si>
    <t>Anya</t>
  </si>
  <si>
    <t>Finch</t>
  </si>
  <si>
    <t>Borin</t>
  </si>
  <si>
    <t>Названия</t>
  </si>
  <si>
    <t>Правит характеристику в нужную сторону</t>
  </si>
  <si>
    <t>Антидот</t>
  </si>
  <si>
    <t>Имя</t>
  </si>
  <si>
    <t>Зелья</t>
  </si>
  <si>
    <t>Хотят</t>
  </si>
  <si>
    <t>Foley</t>
  </si>
  <si>
    <t>Backquit</t>
  </si>
  <si>
    <t>Цветок Солнца</t>
  </si>
  <si>
    <t>Пыльца Фей</t>
  </si>
  <si>
    <t>Элексир скорости</t>
  </si>
  <si>
    <t>Зелье силы</t>
  </si>
  <si>
    <t>Элексир зрения</t>
  </si>
  <si>
    <t>2&gt;</t>
  </si>
  <si>
    <t>4&gt;</t>
  </si>
  <si>
    <t>3&gt;</t>
  </si>
  <si>
    <t>1&gt;</t>
  </si>
  <si>
    <t>Снатворное</t>
  </si>
  <si>
    <t>-2&lt;</t>
  </si>
  <si>
    <t>6&gt;</t>
  </si>
  <si>
    <t>Настойка бодрости</t>
  </si>
  <si>
    <t>Элексир антимагии</t>
  </si>
  <si>
    <t>-5&lt;</t>
  </si>
  <si>
    <t>Успокоительное</t>
  </si>
  <si>
    <t>Зелье лечения</t>
  </si>
  <si>
    <t>Зелье полёта</t>
  </si>
  <si>
    <t>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</si>
</sst>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Fill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r_Velikij" refreshedDate="45710.724373032404" createdVersion="6" refreshedVersion="6" minRefreshableVersion="3" recordCount="58" xr:uid="{E4E59516-D2F3-4541-A6A9-9E87FCC963EB}">
  <cacheSource type="worksheet">
    <worksheetSource ref="A1:E1048576" sheet="Дата сет"/>
  </cacheSource>
  <cacheFields count="5">
    <cacheField name="Название" numFmtId="0">
      <sharedItems containsBlank="1" count="18">
        <s v="Ясновидения"/>
        <s v="Скорости"/>
        <s v="Умиротворения "/>
        <s v="Бодрости "/>
        <s v="Ночного Зрения"/>
        <s v="Антидот"/>
        <s v="Лечения "/>
        <s v="Слабости"/>
        <s v="Выносливости"/>
        <s v="Отравления"/>
        <s v="Силы"/>
        <s v="Огненной Защиты"/>
        <m/>
        <s v="Сопротивления " u="1"/>
        <s v="Дыхания" u="1"/>
        <e v="#N/A" u="1"/>
        <s v="Ярости" u="1"/>
        <s v="Роста" u="1"/>
      </sharedItems>
    </cacheField>
    <cacheField name="Заказ" numFmtId="0">
      <sharedItems containsString="0" containsBlank="1" containsNumber="1" containsInteger="1" minValue="27668" maxValue="37836"/>
    </cacheField>
    <cacheField name="Заказчик" numFmtId="0">
      <sharedItems containsBlank="1"/>
    </cacheField>
    <cacheField name="Получено" numFmtId="0">
      <sharedItems containsString="0" containsBlank="1" containsNumber="1" containsInteger="1" minValue="27668" maxValue="37544"/>
    </cacheField>
    <cacheField name="Кол-во" numFmtId="0">
      <sharedItems containsString="0" containsBlank="1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n v="27900"/>
    <s v="Theodore"/>
    <n v="27900"/>
    <n v="2"/>
  </r>
  <r>
    <x v="1"/>
    <n v="37276"/>
    <s v="Mirabella"/>
    <n v="37276"/>
    <n v="1"/>
  </r>
  <r>
    <x v="2"/>
    <n v="37360"/>
    <s v="Finch"/>
    <n v="37360"/>
    <n v="3"/>
  </r>
  <r>
    <x v="2"/>
    <n v="37360"/>
    <s v="Anya"/>
    <n v="37360"/>
    <n v="1"/>
  </r>
  <r>
    <x v="3"/>
    <n v="27668"/>
    <s v="Eldar"/>
    <n v="27668"/>
    <n v="2"/>
  </r>
  <r>
    <x v="4"/>
    <n v="37544"/>
    <s v="Borin"/>
    <n v="37544"/>
    <n v="4"/>
  </r>
  <r>
    <x v="5"/>
    <n v="37460"/>
    <s v="Isolde"/>
    <n v="37460"/>
    <n v="1"/>
  </r>
  <r>
    <x v="6"/>
    <n v="28988"/>
    <s v="Grail"/>
    <n v="28988"/>
    <n v="2"/>
  </r>
  <r>
    <x v="7"/>
    <n v="31352"/>
    <s v="Finch"/>
    <n v="31352"/>
    <n v="3"/>
  </r>
  <r>
    <x v="1"/>
    <n v="37276"/>
    <s v="Mirabella"/>
    <n v="37276"/>
    <n v="1"/>
  </r>
  <r>
    <x v="6"/>
    <n v="28988"/>
    <s v="Grimbold"/>
    <n v="28988"/>
    <n v="1"/>
  </r>
  <r>
    <x v="4"/>
    <n v="37544"/>
    <s v="Seraphina"/>
    <n v="37544"/>
    <n v="5"/>
  </r>
  <r>
    <x v="4"/>
    <n v="37544"/>
    <s v="Seraphina"/>
    <n v="37544"/>
    <n v="3"/>
  </r>
  <r>
    <x v="2"/>
    <n v="37360"/>
    <s v="Anya"/>
    <n v="37360"/>
    <n v="5"/>
  </r>
  <r>
    <x v="1"/>
    <n v="37276"/>
    <s v="Eldar"/>
    <m/>
    <m/>
  </r>
  <r>
    <x v="0"/>
    <n v="27900"/>
    <s v="Theodore"/>
    <n v="27900"/>
    <n v="4"/>
  </r>
  <r>
    <x v="8"/>
    <n v="37640"/>
    <s v="Mirabella"/>
    <m/>
    <m/>
  </r>
  <r>
    <x v="5"/>
    <n v="37460"/>
    <s v="Isolde"/>
    <m/>
    <m/>
  </r>
  <r>
    <x v="4"/>
    <n v="37544"/>
    <s v="Grimbold"/>
    <n v="37544"/>
    <n v="3"/>
  </r>
  <r>
    <x v="0"/>
    <n v="27900"/>
    <s v="Borin"/>
    <n v="27900"/>
    <n v="4"/>
  </r>
  <r>
    <x v="9"/>
    <n v="31260"/>
    <s v="Grail"/>
    <m/>
    <m/>
  </r>
  <r>
    <x v="2"/>
    <n v="37360"/>
    <s v="Finch"/>
    <n v="37360"/>
    <n v="1"/>
  </r>
  <r>
    <x v="10"/>
    <n v="30444"/>
    <s v="Grimbold"/>
    <m/>
    <m/>
  </r>
  <r>
    <x v="7"/>
    <n v="31352"/>
    <s v="Finch"/>
    <n v="31352"/>
    <n v="3"/>
  </r>
  <r>
    <x v="0"/>
    <n v="27900"/>
    <s v="Theodore"/>
    <n v="27900"/>
    <n v="2"/>
  </r>
  <r>
    <x v="9"/>
    <n v="31260"/>
    <s v="Grail"/>
    <n v="31260"/>
    <n v="3"/>
  </r>
  <r>
    <x v="3"/>
    <n v="27668"/>
    <s v="Mirabella"/>
    <n v="27668"/>
    <n v="6"/>
  </r>
  <r>
    <x v="7"/>
    <n v="31352"/>
    <s v="Anya"/>
    <n v="31352"/>
    <n v="2"/>
  </r>
  <r>
    <x v="11"/>
    <n v="37836"/>
    <s v="Isolde"/>
    <m/>
    <m/>
  </r>
  <r>
    <x v="0"/>
    <n v="27900"/>
    <s v="Seraphina"/>
    <n v="27900"/>
    <n v="3"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  <r>
    <x v="1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F0E9F-298E-4A7A-B6BB-7F28D24AE831}" name="Сводная таблица6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E17" firstHeaderRow="0" firstDataRow="1" firstDataCol="1"/>
  <pivotFields count="5">
    <pivotField axis="axisRow" showAll="0">
      <items count="19">
        <item x="4"/>
        <item x="11"/>
        <item m="1" x="17"/>
        <item x="1"/>
        <item m="1" x="13"/>
        <item x="0"/>
        <item m="1" x="15"/>
        <item x="12"/>
        <item x="3"/>
        <item x="8"/>
        <item x="10"/>
        <item m="1" x="14"/>
        <item x="6"/>
        <item x="2"/>
        <item x="7"/>
        <item x="9"/>
        <item m="1" x="16"/>
        <item x="5"/>
        <item t="default"/>
      </items>
    </pivotField>
    <pivotField dataField="1" showAll="0"/>
    <pivotField showAll="0"/>
    <pivotField showAll="0"/>
    <pivotField dataField="1" showAll="0"/>
  </pivotFields>
  <rowFields count="1">
    <field x="0"/>
  </rowFields>
  <rowItems count="14">
    <i>
      <x/>
    </i>
    <i>
      <x v="1"/>
    </i>
    <i>
      <x v="3"/>
    </i>
    <i>
      <x v="5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-во ингридиентов" fld="4" subtotal="average" baseField="0" baseItem="0"/>
    <dataField name="Мин" fld="4" subtotal="min" baseField="0" baseItem="10"/>
    <dataField name="Макс" fld="4" subtotal="max" baseField="0" baseItem="10"/>
    <dataField name="Заказано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347B-5E97-424C-8E99-1DCA87004B8E}">
  <dimension ref="A1:I9"/>
  <sheetViews>
    <sheetView workbookViewId="0">
      <selection activeCell="H8" sqref="H8"/>
    </sheetView>
  </sheetViews>
  <sheetFormatPr defaultRowHeight="15" x14ac:dyDescent="0.25"/>
  <cols>
    <col min="1" max="1" width="6.7109375" bestFit="1" customWidth="1"/>
    <col min="2" max="2" width="19.140625" bestFit="1" customWidth="1"/>
    <col min="3" max="3" width="10" bestFit="1" customWidth="1"/>
    <col min="4" max="4" width="5.7109375" bestFit="1" customWidth="1"/>
    <col min="5" max="5" width="5.7109375" customWidth="1"/>
    <col min="6" max="6" width="8.42578125" style="2" bestFit="1" customWidth="1"/>
    <col min="7" max="7" width="8.140625" customWidth="1"/>
    <col min="8" max="8" width="14" bestFit="1" customWidth="1"/>
    <col min="9" max="9" width="20.5703125" style="2" bestFit="1" customWidth="1"/>
  </cols>
  <sheetData>
    <row r="1" spans="1:9" x14ac:dyDescent="0.25">
      <c r="F1" s="13" t="s">
        <v>4</v>
      </c>
      <c r="G1" s="13"/>
      <c r="H1" s="14"/>
    </row>
    <row r="2" spans="1:9" x14ac:dyDescent="0.25">
      <c r="F2" s="1" t="s">
        <v>28</v>
      </c>
      <c r="G2" s="1" t="s">
        <v>31</v>
      </c>
      <c r="H2" s="1" t="s">
        <v>34</v>
      </c>
    </row>
    <row r="3" spans="1:9" x14ac:dyDescent="0.25">
      <c r="A3" t="s">
        <v>0</v>
      </c>
      <c r="B3" t="s">
        <v>1</v>
      </c>
      <c r="C3" t="s">
        <v>2</v>
      </c>
      <c r="D3" t="s">
        <v>8</v>
      </c>
      <c r="E3" t="s">
        <v>45</v>
      </c>
      <c r="F3" s="2" t="s">
        <v>3</v>
      </c>
      <c r="G3" t="s">
        <v>32</v>
      </c>
      <c r="H3" t="s">
        <v>6</v>
      </c>
      <c r="I3" s="2" t="s">
        <v>9</v>
      </c>
    </row>
    <row r="4" spans="1:9" s="10" customFormat="1" x14ac:dyDescent="0.25">
      <c r="E4" s="10">
        <f>COUNT('Дата сет'!B:B)</f>
        <v>0</v>
      </c>
      <c r="F4" s="11">
        <f>COUNT(F5:F16)</f>
        <v>3</v>
      </c>
      <c r="G4" s="10">
        <f>COUNT(G5:G16)</f>
        <v>3</v>
      </c>
      <c r="H4" s="10">
        <f>COUNT(H5:H16)</f>
        <v>4</v>
      </c>
      <c r="I4" s="11"/>
    </row>
    <row r="5" spans="1:9" x14ac:dyDescent="0.25">
      <c r="A5">
        <v>26948</v>
      </c>
      <c r="B5" s="12" t="s">
        <v>69</v>
      </c>
      <c r="C5" t="s">
        <v>19</v>
      </c>
      <c r="E5" t="e">
        <f>COUNTIF('Дата сет'!F:S,A5)/$E$4</f>
        <v>#DIV/0!</v>
      </c>
      <c r="F5" s="2">
        <v>1</v>
      </c>
      <c r="G5">
        <v>3</v>
      </c>
      <c r="H5">
        <v>2</v>
      </c>
    </row>
    <row r="6" spans="1:9" x14ac:dyDescent="0.25">
      <c r="A6">
        <v>26404</v>
      </c>
      <c r="B6" s="12" t="s">
        <v>68</v>
      </c>
      <c r="C6" t="s">
        <v>18</v>
      </c>
      <c r="E6" t="e">
        <f>COUNTIF('Дата сет'!F:S,A6)/$E$4</f>
        <v>#DIV/0!</v>
      </c>
      <c r="F6" s="2">
        <v>3</v>
      </c>
      <c r="G6">
        <v>-1</v>
      </c>
      <c r="H6">
        <v>2</v>
      </c>
    </row>
    <row r="7" spans="1:9" x14ac:dyDescent="0.25">
      <c r="A7">
        <v>34974</v>
      </c>
      <c r="B7" s="12" t="s">
        <v>14</v>
      </c>
      <c r="C7" t="s">
        <v>15</v>
      </c>
      <c r="E7" t="e">
        <f>COUNTIF('Дата сет'!F:S,A7)/$E$4</f>
        <v>#DIV/0!</v>
      </c>
      <c r="F7" s="2">
        <v>-5</v>
      </c>
      <c r="H7">
        <v>-2</v>
      </c>
    </row>
    <row r="8" spans="1:9" x14ac:dyDescent="0.25">
      <c r="A8">
        <v>35738</v>
      </c>
      <c r="B8" s="12" t="s">
        <v>35</v>
      </c>
      <c r="C8" t="s">
        <v>16</v>
      </c>
      <c r="E8" t="e">
        <f>COUNTIF('Дата сет'!F:S,A8)/$E$4</f>
        <v>#DIV/0!</v>
      </c>
      <c r="G8">
        <v>-6</v>
      </c>
      <c r="H8">
        <v>5</v>
      </c>
    </row>
    <row r="9" spans="1:9" x14ac:dyDescent="0.25">
      <c r="A9">
        <v>-70632</v>
      </c>
      <c r="B9" t="s">
        <v>17</v>
      </c>
      <c r="C9" t="s">
        <v>20</v>
      </c>
      <c r="E9" t="e">
        <f>COUNTIF('Дата сет'!F:S,A9)/$E$4</f>
        <v>#DIV/0!</v>
      </c>
      <c r="I9" s="2" t="s">
        <v>61</v>
      </c>
    </row>
  </sheetData>
  <mergeCells count="1"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A62C-50BC-4F97-A9FC-8D646F4108F1}">
  <dimension ref="A1:I13"/>
  <sheetViews>
    <sheetView tabSelected="1" workbookViewId="0">
      <selection activeCell="H17" sqref="H17"/>
    </sheetView>
  </sheetViews>
  <sheetFormatPr defaultRowHeight="15" x14ac:dyDescent="0.25"/>
  <cols>
    <col min="1" max="1" width="6.7109375" customWidth="1"/>
    <col min="2" max="2" width="17.7109375" bestFit="1" customWidth="1"/>
    <col min="3" max="3" width="10.85546875" bestFit="1" customWidth="1"/>
    <col min="4" max="4" width="8.7109375" bestFit="1" customWidth="1"/>
    <col min="5" max="5" width="10.85546875" bestFit="1" customWidth="1"/>
    <col min="6" max="6" width="8.42578125" style="3" bestFit="1" customWidth="1"/>
    <col min="7" max="7" width="6" style="4" bestFit="1" customWidth="1"/>
    <col min="8" max="8" width="14" style="4" bestFit="1" customWidth="1"/>
    <col min="9" max="9" width="9.140625" style="2"/>
  </cols>
  <sheetData>
    <row r="1" spans="1:9" x14ac:dyDescent="0.25">
      <c r="F1" s="15" t="s">
        <v>4</v>
      </c>
      <c r="G1" s="15"/>
      <c r="H1" s="15"/>
    </row>
    <row r="2" spans="1:9" x14ac:dyDescent="0.25">
      <c r="F2" s="9" t="s">
        <v>28</v>
      </c>
      <c r="G2" s="1" t="s">
        <v>31</v>
      </c>
      <c r="H2" s="1" t="s">
        <v>34</v>
      </c>
    </row>
    <row r="3" spans="1:9" x14ac:dyDescent="0.25">
      <c r="A3" t="s">
        <v>0</v>
      </c>
      <c r="B3" t="s">
        <v>1</v>
      </c>
      <c r="C3" t="s">
        <v>10</v>
      </c>
      <c r="D3" t="s">
        <v>65</v>
      </c>
      <c r="E3" t="s">
        <v>8</v>
      </c>
      <c r="F3" s="2" t="s">
        <v>3</v>
      </c>
      <c r="G3" t="s">
        <v>32</v>
      </c>
      <c r="H3" t="s">
        <v>6</v>
      </c>
    </row>
    <row r="4" spans="1:9" s="10" customFormat="1" x14ac:dyDescent="0.25">
      <c r="B4" s="10">
        <f>COUNTA(B5:B5)</f>
        <v>1</v>
      </c>
      <c r="F4" s="11">
        <f>COUNTA(F5:F5)</f>
        <v>1</v>
      </c>
      <c r="G4" s="10">
        <f>COUNTA(G5:G5)</f>
        <v>0</v>
      </c>
      <c r="H4" s="10">
        <f>COUNTA(H5:H5)</f>
        <v>0</v>
      </c>
      <c r="I4" s="11"/>
    </row>
    <row r="5" spans="1:9" x14ac:dyDescent="0.25">
      <c r="A5">
        <v>42148</v>
      </c>
      <c r="B5" t="s">
        <v>70</v>
      </c>
      <c r="C5">
        <v>1</v>
      </c>
      <c r="D5">
        <f>COUNTIF(NPCs!B:M,A5)</f>
        <v>0</v>
      </c>
      <c r="E5">
        <f>10*C5</f>
        <v>10</v>
      </c>
      <c r="F5" s="3" t="s">
        <v>73</v>
      </c>
    </row>
    <row r="6" spans="1:9" x14ac:dyDescent="0.25">
      <c r="A6">
        <v>114796</v>
      </c>
      <c r="B6" t="s">
        <v>71</v>
      </c>
      <c r="C6">
        <v>2</v>
      </c>
      <c r="F6" s="3" t="s">
        <v>74</v>
      </c>
      <c r="G6" s="4" t="s">
        <v>75</v>
      </c>
    </row>
    <row r="7" spans="1:9" x14ac:dyDescent="0.25">
      <c r="A7">
        <v>114856</v>
      </c>
      <c r="B7" t="s">
        <v>72</v>
      </c>
      <c r="C7">
        <v>1</v>
      </c>
      <c r="G7" s="4" t="s">
        <v>75</v>
      </c>
      <c r="H7" s="4" t="s">
        <v>76</v>
      </c>
    </row>
    <row r="8" spans="1:9" x14ac:dyDescent="0.25">
      <c r="A8">
        <v>114916</v>
      </c>
      <c r="B8" t="s">
        <v>83</v>
      </c>
      <c r="C8">
        <v>2</v>
      </c>
      <c r="F8" s="3" t="s">
        <v>78</v>
      </c>
      <c r="H8" s="4" t="s">
        <v>75</v>
      </c>
    </row>
    <row r="9" spans="1:9" x14ac:dyDescent="0.25">
      <c r="A9">
        <v>114976</v>
      </c>
      <c r="B9" t="s">
        <v>80</v>
      </c>
      <c r="C9">
        <v>2</v>
      </c>
      <c r="F9" s="3" t="s">
        <v>76</v>
      </c>
      <c r="H9" s="4" t="s">
        <v>79</v>
      </c>
    </row>
    <row r="10" spans="1:9" x14ac:dyDescent="0.25">
      <c r="A10">
        <v>115036</v>
      </c>
      <c r="B10" t="s">
        <v>81</v>
      </c>
      <c r="C10">
        <v>1</v>
      </c>
      <c r="G10" s="4" t="s">
        <v>82</v>
      </c>
    </row>
    <row r="11" spans="1:9" x14ac:dyDescent="0.25">
      <c r="A11">
        <v>115088</v>
      </c>
      <c r="B11" t="s">
        <v>77</v>
      </c>
      <c r="C11">
        <v>1</v>
      </c>
      <c r="F11" s="3" t="s">
        <v>82</v>
      </c>
    </row>
    <row r="12" spans="1:9" x14ac:dyDescent="0.25">
      <c r="A12">
        <v>115132</v>
      </c>
      <c r="B12" t="s">
        <v>84</v>
      </c>
      <c r="C12">
        <v>2</v>
      </c>
      <c r="F12" s="3" t="s">
        <v>75</v>
      </c>
      <c r="G12" s="4" t="s">
        <v>73</v>
      </c>
    </row>
    <row r="13" spans="1:9" x14ac:dyDescent="0.25">
      <c r="A13">
        <v>115192</v>
      </c>
      <c r="B13" t="s">
        <v>85</v>
      </c>
      <c r="C13">
        <v>3</v>
      </c>
      <c r="F13" s="3" t="s">
        <v>86</v>
      </c>
      <c r="G13" s="4" t="s">
        <v>86</v>
      </c>
      <c r="H13" s="4" t="s">
        <v>86</v>
      </c>
    </row>
  </sheetData>
  <mergeCells count="1"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F4F3-E9F9-443E-AD74-484F1377BAF8}">
  <dimension ref="A1:V1"/>
  <sheetViews>
    <sheetView workbookViewId="0">
      <selection activeCell="L11" sqref="L11"/>
    </sheetView>
  </sheetViews>
  <sheetFormatPr defaultRowHeight="15" x14ac:dyDescent="0.25"/>
  <cols>
    <col min="1" max="1" width="10.7109375" customWidth="1"/>
  </cols>
  <sheetData>
    <row r="1" spans="1:22" x14ac:dyDescent="0.25">
      <c r="A1" t="s">
        <v>1</v>
      </c>
      <c r="B1" t="s">
        <v>38</v>
      </c>
      <c r="C1" t="s">
        <v>39</v>
      </c>
      <c r="D1" t="s">
        <v>40</v>
      </c>
      <c r="E1" t="s">
        <v>41</v>
      </c>
      <c r="F1" s="13" t="s">
        <v>23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8"/>
      <c r="U1" s="8"/>
      <c r="V1" s="8"/>
    </row>
  </sheetData>
  <mergeCells count="1">
    <mergeCell ref="F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0ED5-744A-4ABF-A184-9B9887AD729E}">
  <dimension ref="A3:E17"/>
  <sheetViews>
    <sheetView workbookViewId="0">
      <selection activeCell="A14" sqref="A14"/>
    </sheetView>
  </sheetViews>
  <sheetFormatPr defaultRowHeight="15" x14ac:dyDescent="0.25"/>
  <cols>
    <col min="1" max="1" width="17.7109375" bestFit="1" customWidth="1"/>
    <col min="2" max="2" width="21" bestFit="1" customWidth="1"/>
    <col min="3" max="3" width="5.140625" bestFit="1" customWidth="1"/>
    <col min="4" max="4" width="5.7109375" bestFit="1" customWidth="1"/>
    <col min="5" max="5" width="9.140625" bestFit="1" customWidth="1"/>
  </cols>
  <sheetData>
    <row r="3" spans="1:5" x14ac:dyDescent="0.25">
      <c r="A3" s="5" t="s">
        <v>42</v>
      </c>
      <c r="B3" t="s">
        <v>52</v>
      </c>
      <c r="C3" t="s">
        <v>53</v>
      </c>
      <c r="D3" t="s">
        <v>54</v>
      </c>
      <c r="E3" t="s">
        <v>55</v>
      </c>
    </row>
    <row r="4" spans="1:5" x14ac:dyDescent="0.25">
      <c r="A4" s="6" t="s">
        <v>24</v>
      </c>
      <c r="B4" s="7">
        <v>3.75</v>
      </c>
      <c r="C4" s="7">
        <v>3</v>
      </c>
      <c r="D4" s="7">
        <v>5</v>
      </c>
      <c r="E4" s="7">
        <v>4</v>
      </c>
    </row>
    <row r="5" spans="1:5" x14ac:dyDescent="0.25">
      <c r="A5" s="6" t="s">
        <v>26</v>
      </c>
      <c r="B5" s="7"/>
      <c r="C5" s="7"/>
      <c r="D5" s="7"/>
      <c r="E5" s="7">
        <v>1</v>
      </c>
    </row>
    <row r="6" spans="1:5" x14ac:dyDescent="0.25">
      <c r="A6" s="6" t="s">
        <v>21</v>
      </c>
      <c r="B6" s="7">
        <v>1</v>
      </c>
      <c r="C6" s="7">
        <v>1</v>
      </c>
      <c r="D6" s="7">
        <v>1</v>
      </c>
      <c r="E6" s="7">
        <v>3</v>
      </c>
    </row>
    <row r="7" spans="1:5" x14ac:dyDescent="0.25">
      <c r="A7" s="6" t="s">
        <v>13</v>
      </c>
      <c r="B7" s="7">
        <v>3</v>
      </c>
      <c r="C7" s="7">
        <v>2</v>
      </c>
      <c r="D7" s="7">
        <v>4</v>
      </c>
      <c r="E7" s="7">
        <v>5</v>
      </c>
    </row>
    <row r="8" spans="1:5" x14ac:dyDescent="0.25">
      <c r="A8" s="6" t="s">
        <v>43</v>
      </c>
      <c r="B8" s="7"/>
      <c r="C8" s="7"/>
      <c r="D8" s="7"/>
      <c r="E8" s="7"/>
    </row>
    <row r="9" spans="1:5" x14ac:dyDescent="0.25">
      <c r="A9" s="6" t="s">
        <v>12</v>
      </c>
      <c r="B9" s="7">
        <v>4</v>
      </c>
      <c r="C9" s="7">
        <v>2</v>
      </c>
      <c r="D9" s="7">
        <v>6</v>
      </c>
      <c r="E9" s="7">
        <v>2</v>
      </c>
    </row>
    <row r="10" spans="1:5" x14ac:dyDescent="0.25">
      <c r="A10" s="6" t="s">
        <v>25</v>
      </c>
      <c r="B10" s="7"/>
      <c r="C10" s="7"/>
      <c r="D10" s="7"/>
      <c r="E10" s="7">
        <v>1</v>
      </c>
    </row>
    <row r="11" spans="1:5" x14ac:dyDescent="0.25">
      <c r="A11" s="6" t="s">
        <v>27</v>
      </c>
      <c r="B11" s="7"/>
      <c r="C11" s="7"/>
      <c r="D11" s="7"/>
      <c r="E11" s="7">
        <v>1</v>
      </c>
    </row>
    <row r="12" spans="1:5" x14ac:dyDescent="0.25">
      <c r="A12" s="6" t="s">
        <v>11</v>
      </c>
      <c r="B12" s="7">
        <v>1.5</v>
      </c>
      <c r="C12" s="7">
        <v>1</v>
      </c>
      <c r="D12" s="7">
        <v>2</v>
      </c>
      <c r="E12" s="7">
        <v>2</v>
      </c>
    </row>
    <row r="13" spans="1:5" x14ac:dyDescent="0.25">
      <c r="A13" s="6" t="s">
        <v>22</v>
      </c>
      <c r="B13" s="7">
        <v>2.5</v>
      </c>
      <c r="C13" s="7">
        <v>1</v>
      </c>
      <c r="D13" s="7">
        <v>5</v>
      </c>
      <c r="E13" s="7">
        <v>4</v>
      </c>
    </row>
    <row r="14" spans="1:5" x14ac:dyDescent="0.25">
      <c r="A14" s="6" t="s">
        <v>37</v>
      </c>
      <c r="B14" s="7">
        <v>2.6666666666666665</v>
      </c>
      <c r="C14" s="7">
        <v>2</v>
      </c>
      <c r="D14" s="7">
        <v>3</v>
      </c>
      <c r="E14" s="7">
        <v>3</v>
      </c>
    </row>
    <row r="15" spans="1:5" x14ac:dyDescent="0.25">
      <c r="A15" s="6" t="s">
        <v>36</v>
      </c>
      <c r="B15" s="7">
        <v>3</v>
      </c>
      <c r="C15" s="7">
        <v>3</v>
      </c>
      <c r="D15" s="7">
        <v>3</v>
      </c>
      <c r="E15" s="7">
        <v>2</v>
      </c>
    </row>
    <row r="16" spans="1:5" x14ac:dyDescent="0.25">
      <c r="A16" s="6" t="s">
        <v>62</v>
      </c>
      <c r="B16" s="7">
        <v>1</v>
      </c>
      <c r="C16" s="7">
        <v>1</v>
      </c>
      <c r="D16" s="7">
        <v>1</v>
      </c>
      <c r="E16" s="7">
        <v>2</v>
      </c>
    </row>
    <row r="17" spans="1:5" x14ac:dyDescent="0.25">
      <c r="A17" s="6" t="s">
        <v>44</v>
      </c>
      <c r="B17" s="7">
        <v>2.7083333333333335</v>
      </c>
      <c r="C17" s="7">
        <v>1</v>
      </c>
      <c r="D17" s="7">
        <v>6</v>
      </c>
      <c r="E17" s="7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80B5-3E02-4C72-BB50-2AB726881325}">
  <dimension ref="A1:F26"/>
  <sheetViews>
    <sheetView workbookViewId="0">
      <selection activeCell="A12" sqref="A12:XFD12"/>
    </sheetView>
  </sheetViews>
  <sheetFormatPr defaultRowHeight="15" x14ac:dyDescent="0.25"/>
  <sheetData>
    <row r="1" spans="1:6" x14ac:dyDescent="0.25">
      <c r="A1" t="s">
        <v>63</v>
      </c>
      <c r="B1" t="s">
        <v>64</v>
      </c>
    </row>
    <row r="2" spans="1:6" x14ac:dyDescent="0.25">
      <c r="A2" t="s">
        <v>57</v>
      </c>
      <c r="B2">
        <v>37360</v>
      </c>
      <c r="C2">
        <v>31352</v>
      </c>
    </row>
    <row r="3" spans="1:6" x14ac:dyDescent="0.25">
      <c r="B3" t="e">
        <f>VLOOKUP(B2,Зелья!$A$5:$C$5,5,FALSE)</f>
        <v>#N/A</v>
      </c>
      <c r="C3" t="e">
        <f>VLOOKUP(C2,Зелья!$A$5:$C$5,5,FALSE)</f>
        <v>#N/A</v>
      </c>
    </row>
    <row r="4" spans="1:6" x14ac:dyDescent="0.25">
      <c r="A4" t="s">
        <v>59</v>
      </c>
      <c r="B4">
        <v>37544</v>
      </c>
      <c r="C4">
        <v>27900</v>
      </c>
    </row>
    <row r="5" spans="1:6" x14ac:dyDescent="0.25">
      <c r="B5" t="e">
        <f>VLOOKUP(B4,Зелья!$A$5:$C$5,5,FALSE)</f>
        <v>#N/A</v>
      </c>
      <c r="C5" t="e">
        <f>VLOOKUP(C4,Зелья!$A$5:$C$5,5,FALSE)</f>
        <v>#N/A</v>
      </c>
    </row>
    <row r="6" spans="1:6" x14ac:dyDescent="0.25">
      <c r="A6" t="s">
        <v>47</v>
      </c>
      <c r="B6">
        <v>27668</v>
      </c>
      <c r="C6">
        <v>28024</v>
      </c>
      <c r="D6">
        <v>37276</v>
      </c>
    </row>
    <row r="7" spans="1:6" x14ac:dyDescent="0.25">
      <c r="B7" t="e">
        <f>VLOOKUP(B6,Зелья!$A$5:$C$5,5,FALSE)</f>
        <v>#N/A</v>
      </c>
      <c r="C7" t="e">
        <f>VLOOKUP(C6,Зелья!$A$5:$C$5,5,FALSE)</f>
        <v>#N/A</v>
      </c>
      <c r="D7" t="e">
        <f>VLOOKUP(D6,Зелья!$A$5:$C$5,5,FALSE)</f>
        <v>#N/A</v>
      </c>
    </row>
    <row r="8" spans="1:6" x14ac:dyDescent="0.25">
      <c r="A8" t="s">
        <v>58</v>
      </c>
      <c r="B8">
        <v>37360</v>
      </c>
      <c r="C8">
        <v>31352</v>
      </c>
      <c r="D8">
        <v>27668</v>
      </c>
    </row>
    <row r="9" spans="1:6" x14ac:dyDescent="0.25">
      <c r="B9" t="e">
        <f>VLOOKUP(B8,Зелья!$A$5:$C$5,5,FALSE)</f>
        <v>#N/A</v>
      </c>
      <c r="C9" t="e">
        <f>VLOOKUP(C8,Зелья!$A$5:$C$5,5,FALSE)</f>
        <v>#N/A</v>
      </c>
      <c r="D9" t="e">
        <f>VLOOKUP(D8,Зелья!$A$5:$C$5,5,FALSE)</f>
        <v>#N/A</v>
      </c>
    </row>
    <row r="10" spans="1:6" x14ac:dyDescent="0.25">
      <c r="A10" t="s">
        <v>50</v>
      </c>
      <c r="B10">
        <v>28988</v>
      </c>
      <c r="C10">
        <v>31260</v>
      </c>
      <c r="D10">
        <v>37360</v>
      </c>
    </row>
    <row r="11" spans="1:6" x14ac:dyDescent="0.25">
      <c r="B11" t="e">
        <f>VLOOKUP(B10,Зелья!$A$5:$C$5,5,FALSE)</f>
        <v>#N/A</v>
      </c>
      <c r="C11" t="e">
        <f>VLOOKUP(C10,Зелья!$A$5:$C$5,5,FALSE)</f>
        <v>#N/A</v>
      </c>
      <c r="D11" t="e">
        <f>VLOOKUP(D10,Зелья!$A$5:$C$5,5,FALSE)</f>
        <v>#N/A</v>
      </c>
    </row>
    <row r="12" spans="1:6" x14ac:dyDescent="0.25">
      <c r="A12" t="s">
        <v>46</v>
      </c>
      <c r="B12">
        <v>30444</v>
      </c>
      <c r="C12">
        <v>31452</v>
      </c>
      <c r="D12">
        <v>37768</v>
      </c>
      <c r="E12">
        <v>37544</v>
      </c>
      <c r="F12">
        <v>28988</v>
      </c>
    </row>
    <row r="13" spans="1:6" x14ac:dyDescent="0.25">
      <c r="B13" t="e">
        <f>VLOOKUP(B12,Зелья!$A$5:$C$5,5,FALSE)</f>
        <v>#N/A</v>
      </c>
      <c r="C13" t="e">
        <f>VLOOKUP(C12,Зелья!$A$5:$C$5,5,FALSE)</f>
        <v>#N/A</v>
      </c>
      <c r="D13" t="e">
        <f>VLOOKUP(D12,Зелья!$A$5:$C$5,5,FALSE)</f>
        <v>#N/A</v>
      </c>
      <c r="E13" t="e">
        <f>VLOOKUP(E12,Зелья!$A$5:$C$5,5,FALSE)</f>
        <v>#N/A</v>
      </c>
      <c r="F13" t="e">
        <f>VLOOKUP(F12,Зелья!$A$5:$C$5,5,FALSE)</f>
        <v>#N/A</v>
      </c>
    </row>
    <row r="14" spans="1:6" x14ac:dyDescent="0.25">
      <c r="A14" t="s">
        <v>56</v>
      </c>
      <c r="B14">
        <v>37836</v>
      </c>
      <c r="C14">
        <v>37460</v>
      </c>
    </row>
    <row r="15" spans="1:6" x14ac:dyDescent="0.25">
      <c r="B15" t="e">
        <f>VLOOKUP(B14,Зелья!$A$5:$C$5,5,FALSE)</f>
        <v>#N/A</v>
      </c>
      <c r="C15" t="e">
        <f>VLOOKUP(C14,Зелья!$A$5:$C$5,5,FALSE)</f>
        <v>#N/A</v>
      </c>
    </row>
    <row r="16" spans="1:6" x14ac:dyDescent="0.25">
      <c r="A16" t="s">
        <v>48</v>
      </c>
      <c r="B16">
        <v>27668</v>
      </c>
      <c r="C16">
        <v>37276</v>
      </c>
      <c r="D16">
        <v>37640</v>
      </c>
    </row>
    <row r="17" spans="1:4" x14ac:dyDescent="0.25">
      <c r="B17" t="e">
        <f>VLOOKUP(B16,Зелья!$A$5:$C$5,5,FALSE)</f>
        <v>#N/A</v>
      </c>
      <c r="C17" t="e">
        <f>VLOOKUP(C16,Зелья!$A$5:$C$5,5,FALSE)</f>
        <v>#N/A</v>
      </c>
      <c r="D17" t="e">
        <f>VLOOKUP(D16,Зелья!$A$5:$C$5,5,FALSE)</f>
        <v>#N/A</v>
      </c>
    </row>
    <row r="18" spans="1:4" x14ac:dyDescent="0.25">
      <c r="A18" t="s">
        <v>49</v>
      </c>
      <c r="B18">
        <v>27900</v>
      </c>
      <c r="C18">
        <v>37544</v>
      </c>
      <c r="D18">
        <v>30444</v>
      </c>
    </row>
    <row r="19" spans="1:4" x14ac:dyDescent="0.25">
      <c r="B19" t="e">
        <f>VLOOKUP(B18,Зелья!$A$5:$C$5,5,FALSE)</f>
        <v>#N/A</v>
      </c>
      <c r="C19" t="e">
        <f>VLOOKUP(C18,Зелья!$A$5:$C$5,5,FALSE)</f>
        <v>#N/A</v>
      </c>
      <c r="D19" t="e">
        <f>VLOOKUP(D18,Зелья!$A$5:$C$5,5,FALSE)</f>
        <v>#N/A</v>
      </c>
    </row>
    <row r="20" spans="1:4" x14ac:dyDescent="0.25">
      <c r="A20" t="s">
        <v>51</v>
      </c>
      <c r="B20">
        <v>27900</v>
      </c>
      <c r="C20">
        <v>37768</v>
      </c>
    </row>
    <row r="21" spans="1:4" x14ac:dyDescent="0.25">
      <c r="B21" t="e">
        <f>VLOOKUP(B20,Зелья!$A$5:$C$5,5,FALSE)</f>
        <v>#N/A</v>
      </c>
      <c r="C21" t="e">
        <f>VLOOKUP(C20,Зелья!$A$5:$C$5,5,FALSE)</f>
        <v>#N/A</v>
      </c>
    </row>
    <row r="23" spans="1:4" x14ac:dyDescent="0.25">
      <c r="A23" t="s">
        <v>66</v>
      </c>
      <c r="B23">
        <v>37360</v>
      </c>
    </row>
    <row r="24" spans="1:4" x14ac:dyDescent="0.25">
      <c r="B24" t="e">
        <f>VLOOKUP(B23,Зелья!$A$5:$C$5,5,FALSE)</f>
        <v>#N/A</v>
      </c>
    </row>
    <row r="25" spans="1:4" x14ac:dyDescent="0.25">
      <c r="A25" t="s">
        <v>67</v>
      </c>
      <c r="B25">
        <v>28988</v>
      </c>
    </row>
    <row r="26" spans="1:4" x14ac:dyDescent="0.25">
      <c r="B26" t="e">
        <f>VLOOKUP(B25,Зелья!$A$5:$C$5,5,FALSE)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401C-FC77-4C83-AF0C-B490265C3F49}">
  <dimension ref="A1:M11"/>
  <sheetViews>
    <sheetView workbookViewId="0">
      <selection activeCell="F4" sqref="F4"/>
    </sheetView>
  </sheetViews>
  <sheetFormatPr defaultRowHeight="15" x14ac:dyDescent="0.25"/>
  <cols>
    <col min="1" max="1" width="13.85546875" customWidth="1"/>
    <col min="2" max="13" width="15.7109375" customWidth="1"/>
  </cols>
  <sheetData>
    <row r="1" spans="1:13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 t="s">
        <v>0</v>
      </c>
      <c r="B2">
        <v>34974</v>
      </c>
      <c r="C2">
        <v>26756</v>
      </c>
      <c r="D2">
        <v>-68820</v>
      </c>
      <c r="E2">
        <v>35282</v>
      </c>
      <c r="F2">
        <v>-70632</v>
      </c>
      <c r="G2">
        <v>26194</v>
      </c>
    </row>
    <row r="3" spans="1:13" x14ac:dyDescent="0.25">
      <c r="A3" t="s">
        <v>60</v>
      </c>
      <c r="B3" t="str">
        <f>VLOOKUP(B2,Ингридиенты!$A$5:$B$9,2,FALSE)</f>
        <v>Ледяное Сердце</v>
      </c>
      <c r="C3" t="e">
        <f>VLOOKUP(C2,Ингридиенты!$A$5:$B$9,2,FALSE)</f>
        <v>#N/A</v>
      </c>
      <c r="D3" t="e">
        <f>VLOOKUP(D2,Ингридиенты!$A$5:$B$9,2,FALSE)</f>
        <v>#N/A</v>
      </c>
      <c r="E3" t="e">
        <f>VLOOKUP(E2,Ингридиенты!$A$5:$B$9,2,FALSE)</f>
        <v>#N/A</v>
      </c>
      <c r="F3" t="str">
        <f>VLOOKUP(F2,Ингридиенты!$A$5:$B$9,2,FALSE)</f>
        <v>Прихоть Судьбы</v>
      </c>
      <c r="G3" t="e">
        <f>VLOOKUP(G2,Ингридиенты!$A$5:$B$9,2,FALSE)</f>
        <v>#N/A</v>
      </c>
      <c r="H3" t="e">
        <f>VLOOKUP(H2,Ингридиенты!$A$5:$B$9,2,FALSE)</f>
        <v>#N/A</v>
      </c>
      <c r="I3" t="e">
        <f>VLOOKUP(I2,Ингридиенты!$A$5:$B$9,2,FALSE)</f>
        <v>#N/A</v>
      </c>
      <c r="J3" t="e">
        <f>VLOOKUP(J2,Ингридиенты!$A$5:$B$9,2,FALSE)</f>
        <v>#N/A</v>
      </c>
      <c r="K3" t="e">
        <f>VLOOKUP(K2,Ингридиенты!$A$5:$B$9,2,FALSE)</f>
        <v>#N/A</v>
      </c>
      <c r="L3" t="e">
        <f>VLOOKUP(L2,Ингридиенты!$A$5:$B$9,2,FALSE)</f>
        <v>#N/A</v>
      </c>
      <c r="M3" t="e">
        <f>VLOOKUP(M2,Ингридиенты!$A$5:$B$9,2,FALSE)</f>
        <v>#N/A</v>
      </c>
    </row>
    <row r="4" spans="1:13" x14ac:dyDescent="0.25">
      <c r="A4" t="s">
        <v>3</v>
      </c>
      <c r="B4">
        <f>VLOOKUP(B$2,Ингридиенты!$A$5:$H$9,6,FALSE)</f>
        <v>-5</v>
      </c>
      <c r="C4" t="e">
        <f>VLOOKUP(C$2,Ингридиенты!$A$5:$H$9,6,FALSE)</f>
        <v>#N/A</v>
      </c>
      <c r="D4" t="e">
        <f>VLOOKUP(D$2,Ингридиенты!$A$5:$H$9,6,FALSE)</f>
        <v>#N/A</v>
      </c>
      <c r="E4" t="e">
        <f>VLOOKUP(E$2,Ингридиенты!$A$5:$H$9,6,FALSE)</f>
        <v>#N/A</v>
      </c>
      <c r="F4">
        <f>VLOOKUP(F$2,Ингридиенты!$A$5:$H$9,6,FALSE)</f>
        <v>0</v>
      </c>
      <c r="G4" t="e">
        <f>VLOOKUP(G$2,Ингридиенты!$A$5:$H$9,6,FALSE)</f>
        <v>#N/A</v>
      </c>
      <c r="H4" t="e">
        <f>VLOOKUP(H$2,Ингридиенты!$A$5:$H$9,6,FALSE)</f>
        <v>#N/A</v>
      </c>
      <c r="I4" t="e">
        <f>VLOOKUP(I$2,Ингридиенты!$A$5:$H$9,6,FALSE)</f>
        <v>#N/A</v>
      </c>
      <c r="J4" t="e">
        <f>VLOOKUP(J$2,Ингридиенты!$A$5:$H$9,6,FALSE)</f>
        <v>#N/A</v>
      </c>
      <c r="K4" t="e">
        <f>VLOOKUP(K$2,Ингридиенты!$A$5:$H$9,6,FALSE)</f>
        <v>#N/A</v>
      </c>
      <c r="L4" t="e">
        <f>VLOOKUP(L$2,Ингридиенты!$A$5:$H$9,6,FALSE)</f>
        <v>#N/A</v>
      </c>
      <c r="M4" t="e">
        <f>VLOOKUP(M$2,Ингридиенты!$A$5:$H$9,6,FALSE)</f>
        <v>#N/A</v>
      </c>
    </row>
    <row r="5" spans="1:13" x14ac:dyDescent="0.25">
      <c r="A5" t="s">
        <v>29</v>
      </c>
      <c r="B5">
        <f>VLOOKUP(B$2,Ингридиенты!$A$5:$H$9,7,FALSE)</f>
        <v>0</v>
      </c>
      <c r="C5" t="e">
        <f>VLOOKUP(C$2,Ингридиенты!$A$5:$H$9,7,FALSE)</f>
        <v>#N/A</v>
      </c>
      <c r="D5" t="e">
        <f>VLOOKUP(D$2,Ингридиенты!$A$5:$H$9,7,FALSE)</f>
        <v>#N/A</v>
      </c>
      <c r="E5" t="e">
        <f>VLOOKUP(E$2,Ингридиенты!$A$5:$H$9,7,FALSE)</f>
        <v>#N/A</v>
      </c>
      <c r="F5">
        <f>VLOOKUP(F$2,Ингридиенты!$A$5:$H$9,7,FALSE)</f>
        <v>0</v>
      </c>
      <c r="G5" t="e">
        <f>VLOOKUP(G$2,Ингридиенты!$A$5:$H$9,7,FALSE)</f>
        <v>#N/A</v>
      </c>
      <c r="H5" t="e">
        <f>VLOOKUP(H$2,Ингридиенты!$A$5:$H$9,7,FALSE)</f>
        <v>#N/A</v>
      </c>
      <c r="I5" t="e">
        <f>VLOOKUP(I$2,Ингридиенты!$A$5:$H$9,7,FALSE)</f>
        <v>#N/A</v>
      </c>
      <c r="J5" t="e">
        <f>VLOOKUP(J$2,Ингридиенты!$A$5:$H$9,7,FALSE)</f>
        <v>#N/A</v>
      </c>
      <c r="K5" t="e">
        <f>VLOOKUP(K$2,Ингридиенты!$A$5:$H$9,7,FALSE)</f>
        <v>#N/A</v>
      </c>
      <c r="L5" t="e">
        <f>VLOOKUP(L$2,Ингридиенты!$A$5:$H$9,7,FALSE)</f>
        <v>#N/A</v>
      </c>
      <c r="M5" t="e">
        <f>VLOOKUP(M$2,Ингридиенты!$A$5:$H$9,7,FALSE)</f>
        <v>#N/A</v>
      </c>
    </row>
    <row r="6" spans="1:13" x14ac:dyDescent="0.25">
      <c r="A6" t="s">
        <v>30</v>
      </c>
      <c r="B6">
        <f>VLOOKUP(B$2,Ингридиенты!$A$5:$H$9,8,FALSE)</f>
        <v>-2</v>
      </c>
      <c r="C6" t="e">
        <f>VLOOKUP(C$2,Ингридиенты!$A$5:$H$9,8,FALSE)</f>
        <v>#N/A</v>
      </c>
      <c r="D6" t="e">
        <f>VLOOKUP(D$2,Ингридиенты!$A$5:$H$9,8,FALSE)</f>
        <v>#N/A</v>
      </c>
      <c r="E6" t="e">
        <f>VLOOKUP(E$2,Ингридиенты!$A$5:$H$9,8,FALSE)</f>
        <v>#N/A</v>
      </c>
      <c r="F6">
        <f>VLOOKUP(F$2,Ингридиенты!$A$5:$H$9,8,FALSE)</f>
        <v>0</v>
      </c>
      <c r="G6" t="e">
        <f>VLOOKUP(G$2,Ингридиенты!$A$5:$H$9,8,FALSE)</f>
        <v>#N/A</v>
      </c>
      <c r="H6" t="e">
        <f>VLOOKUP(H$2,Ингридиенты!$A$5:$H$9,8,FALSE)</f>
        <v>#N/A</v>
      </c>
      <c r="I6" t="e">
        <f>VLOOKUP(I$2,Ингридиенты!$A$5:$H$9,8,FALSE)</f>
        <v>#N/A</v>
      </c>
      <c r="J6" t="e">
        <f>VLOOKUP(J$2,Ингридиенты!$A$5:$H$9,8,FALSE)</f>
        <v>#N/A</v>
      </c>
      <c r="K6" t="e">
        <f>VLOOKUP(K$2,Ингридиенты!$A$5:$H$9,8,FALSE)</f>
        <v>#N/A</v>
      </c>
      <c r="L6" t="e">
        <f>VLOOKUP(L$2,Ингридиенты!$A$5:$H$9,8,FALSE)</f>
        <v>#N/A</v>
      </c>
      <c r="M6" t="e">
        <f>VLOOKUP(M$2,Ингридиенты!$A$5:$H$9,8,FALSE)</f>
        <v>#N/A</v>
      </c>
    </row>
    <row r="7" spans="1:13" x14ac:dyDescent="0.25">
      <c r="A7" t="s">
        <v>32</v>
      </c>
      <c r="B7">
        <f>VLOOKUP(B$2,Ингридиенты!$A$5:$H$9,6,FALSE)</f>
        <v>-5</v>
      </c>
      <c r="C7" t="e">
        <f>VLOOKUP(C$2,Ингридиенты!$A$5:$H$9,6,FALSE)</f>
        <v>#N/A</v>
      </c>
      <c r="D7" t="e">
        <f>VLOOKUP(D$2,Ингридиенты!$A$5:$H$9,6,FALSE)</f>
        <v>#N/A</v>
      </c>
      <c r="E7" t="e">
        <f>VLOOKUP(E$2,Ингридиенты!$A$5:$H$9,6,FALSE)</f>
        <v>#N/A</v>
      </c>
      <c r="F7">
        <f>VLOOKUP(F$2,Ингридиенты!$A$5:$H$9,6,FALSE)</f>
        <v>0</v>
      </c>
      <c r="G7" t="e">
        <f>VLOOKUP(G$2,Ингридиенты!$A$5:$H$9,6,FALSE)</f>
        <v>#N/A</v>
      </c>
      <c r="H7" t="e">
        <f>VLOOKUP(H$2,Ингридиенты!$A$5:$H$9,6,FALSE)</f>
        <v>#N/A</v>
      </c>
      <c r="I7" t="e">
        <f>VLOOKUP(I$2,Ингридиенты!$A$5:$H$9,6,FALSE)</f>
        <v>#N/A</v>
      </c>
      <c r="J7" t="e">
        <f>VLOOKUP(J$2,Ингридиенты!$A$5:$H$9,6,FALSE)</f>
        <v>#N/A</v>
      </c>
      <c r="K7" t="e">
        <f>VLOOKUP(K$2,Ингридиенты!$A$5:$H$9,6,FALSE)</f>
        <v>#N/A</v>
      </c>
      <c r="L7" t="e">
        <f>VLOOKUP(L$2,Ингридиенты!$A$5:$H$9,6,FALSE)</f>
        <v>#N/A</v>
      </c>
      <c r="M7" t="e">
        <f>VLOOKUP(M$2,Ингридиенты!$A$5:$H$9,6,FALSE)</f>
        <v>#N/A</v>
      </c>
    </row>
    <row r="8" spans="1:13" x14ac:dyDescent="0.25">
      <c r="A8" t="s">
        <v>33</v>
      </c>
      <c r="B8">
        <f>VLOOKUP(B$2,Ингридиенты!$A$5:$H$9,7,FALSE)</f>
        <v>0</v>
      </c>
      <c r="C8" t="e">
        <f>VLOOKUP(C$2,Ингридиенты!$A$5:$H$9,7,FALSE)</f>
        <v>#N/A</v>
      </c>
      <c r="D8" t="e">
        <f>VLOOKUP(D$2,Ингридиенты!$A$5:$H$9,7,FALSE)</f>
        <v>#N/A</v>
      </c>
      <c r="E8" t="e">
        <f>VLOOKUP(E$2,Ингридиенты!$A$5:$H$9,7,FALSE)</f>
        <v>#N/A</v>
      </c>
      <c r="F8">
        <f>VLOOKUP(F$2,Ингридиенты!$A$5:$H$9,7,FALSE)</f>
        <v>0</v>
      </c>
      <c r="G8" t="e">
        <f>VLOOKUP(G$2,Ингридиенты!$A$5:$H$9,7,FALSE)</f>
        <v>#N/A</v>
      </c>
      <c r="H8" t="e">
        <f>VLOOKUP(H$2,Ингридиенты!$A$5:$H$9,7,FALSE)</f>
        <v>#N/A</v>
      </c>
      <c r="I8" t="e">
        <f>VLOOKUP(I$2,Ингридиенты!$A$5:$H$9,7,FALSE)</f>
        <v>#N/A</v>
      </c>
      <c r="J8" t="e">
        <f>VLOOKUP(J$2,Ингридиенты!$A$5:$H$9,7,FALSE)</f>
        <v>#N/A</v>
      </c>
      <c r="K8" t="e">
        <f>VLOOKUP(K$2,Ингридиенты!$A$5:$H$9,7,FALSE)</f>
        <v>#N/A</v>
      </c>
      <c r="L8" t="e">
        <f>VLOOKUP(L$2,Ингридиенты!$A$5:$H$9,7,FALSE)</f>
        <v>#N/A</v>
      </c>
      <c r="M8" t="e">
        <f>VLOOKUP(M$2,Ингридиенты!$A$5:$H$9,7,FALSE)</f>
        <v>#N/A</v>
      </c>
    </row>
    <row r="9" spans="1:13" x14ac:dyDescent="0.25">
      <c r="A9" t="s">
        <v>5</v>
      </c>
      <c r="B9">
        <f>VLOOKUP(B$2,Ингридиенты!$A$5:$H$9,8,FALSE)</f>
        <v>-2</v>
      </c>
      <c r="C9" t="e">
        <f>VLOOKUP(C$2,Ингридиенты!$A$5:$H$9,8,FALSE)</f>
        <v>#N/A</v>
      </c>
      <c r="D9" t="e">
        <f>VLOOKUP(D$2,Ингридиенты!$A$5:$H$9,8,FALSE)</f>
        <v>#N/A</v>
      </c>
      <c r="E9" t="e">
        <f>VLOOKUP(E$2,Ингридиенты!$A$5:$H$9,8,FALSE)</f>
        <v>#N/A</v>
      </c>
      <c r="F9">
        <f>VLOOKUP(F$2,Ингридиенты!$A$5:$H$9,8,FALSE)</f>
        <v>0</v>
      </c>
      <c r="G9" t="e">
        <f>VLOOKUP(G$2,Ингридиенты!$A$5:$H$9,8,FALSE)</f>
        <v>#N/A</v>
      </c>
      <c r="H9" t="e">
        <f>VLOOKUP(H$2,Ингридиенты!$A$5:$H$9,8,FALSE)</f>
        <v>#N/A</v>
      </c>
      <c r="I9" t="e">
        <f>VLOOKUP(I$2,Ингридиенты!$A$5:$H$9,8,FALSE)</f>
        <v>#N/A</v>
      </c>
      <c r="J9" t="e">
        <f>VLOOKUP(J$2,Ингридиенты!$A$5:$H$9,8,FALSE)</f>
        <v>#N/A</v>
      </c>
      <c r="K9" t="e">
        <f>VLOOKUP(K$2,Ингридиенты!$A$5:$H$9,8,FALSE)</f>
        <v>#N/A</v>
      </c>
      <c r="L9" t="e">
        <f>VLOOKUP(L$2,Ингридиенты!$A$5:$H$9,8,FALSE)</f>
        <v>#N/A</v>
      </c>
      <c r="M9" t="e">
        <f>VLOOKUP(M$2,Ингридиенты!$A$5:$H$9,8,FALSE)</f>
        <v>#N/A</v>
      </c>
    </row>
    <row r="10" spans="1:13" x14ac:dyDescent="0.25">
      <c r="A10" t="s">
        <v>6</v>
      </c>
      <c r="B10">
        <f>VLOOKUP(B$2,Ингридиенты!$A$5:$H$9,6,FALSE)</f>
        <v>-5</v>
      </c>
      <c r="C10" t="e">
        <f>VLOOKUP(C$2,Ингридиенты!$A$5:$H$9,6,FALSE)</f>
        <v>#N/A</v>
      </c>
      <c r="D10" t="e">
        <f>VLOOKUP(D$2,Ингридиенты!$A$5:$H$9,6,FALSE)</f>
        <v>#N/A</v>
      </c>
      <c r="E10" t="e">
        <f>VLOOKUP(E$2,Ингридиенты!$A$5:$H$9,6,FALSE)</f>
        <v>#N/A</v>
      </c>
      <c r="F10">
        <f>VLOOKUP(F$2,Ингридиенты!$A$5:$H$9,6,FALSE)</f>
        <v>0</v>
      </c>
      <c r="G10" t="e">
        <f>VLOOKUP(G$2,Ингридиенты!$A$5:$H$9,6,FALSE)</f>
        <v>#N/A</v>
      </c>
      <c r="H10" t="e">
        <f>VLOOKUP(H$2,Ингридиенты!$A$5:$H$9,6,FALSE)</f>
        <v>#N/A</v>
      </c>
      <c r="I10" t="e">
        <f>VLOOKUP(I$2,Ингридиенты!$A$5:$H$9,6,FALSE)</f>
        <v>#N/A</v>
      </c>
      <c r="J10" t="e">
        <f>VLOOKUP(J$2,Ингридиенты!$A$5:$H$9,6,FALSE)</f>
        <v>#N/A</v>
      </c>
      <c r="K10" t="e">
        <f>VLOOKUP(K$2,Ингридиенты!$A$5:$H$9,6,FALSE)</f>
        <v>#N/A</v>
      </c>
      <c r="L10" t="e">
        <f>VLOOKUP(L$2,Ингридиенты!$A$5:$H$9,6,FALSE)</f>
        <v>#N/A</v>
      </c>
      <c r="M10" t="e">
        <f>VLOOKUP(M$2,Ингридиенты!$A$5:$H$9,6,FALSE)</f>
        <v>#N/A</v>
      </c>
    </row>
    <row r="11" spans="1:13" x14ac:dyDescent="0.25">
      <c r="A11" t="s">
        <v>7</v>
      </c>
      <c r="B11">
        <f>VLOOKUP(B$2,Ингридиенты!$A$5:$H$9,7,FALSE)</f>
        <v>0</v>
      </c>
      <c r="C11" t="e">
        <f>VLOOKUP(C$2,Ингридиенты!$A$5:$H$9,7,FALSE)</f>
        <v>#N/A</v>
      </c>
      <c r="D11" t="e">
        <f>VLOOKUP(D$2,Ингридиенты!$A$5:$H$9,7,FALSE)</f>
        <v>#N/A</v>
      </c>
      <c r="E11" t="e">
        <f>VLOOKUP(E$2,Ингридиенты!$A$5:$H$9,7,FALSE)</f>
        <v>#N/A</v>
      </c>
      <c r="F11">
        <f>VLOOKUP(F$2,Ингридиенты!$A$5:$H$9,7,FALSE)</f>
        <v>0</v>
      </c>
      <c r="G11" t="e">
        <f>VLOOKUP(G$2,Ингридиенты!$A$5:$H$9,7,FALSE)</f>
        <v>#N/A</v>
      </c>
      <c r="H11" t="e">
        <f>VLOOKUP(H$2,Ингридиенты!$A$5:$H$9,7,FALSE)</f>
        <v>#N/A</v>
      </c>
      <c r="I11" t="e">
        <f>VLOOKUP(I$2,Ингридиенты!$A$5:$H$9,7,FALSE)</f>
        <v>#N/A</v>
      </c>
      <c r="J11" t="e">
        <f>VLOOKUP(J$2,Ингридиенты!$A$5:$H$9,7,FALSE)</f>
        <v>#N/A</v>
      </c>
      <c r="K11" t="e">
        <f>VLOOKUP(K$2,Ингридиенты!$A$5:$H$9,7,FALSE)</f>
        <v>#N/A</v>
      </c>
      <c r="L11" t="e">
        <f>VLOOKUP(L$2,Ингридиенты!$A$5:$H$9,7,FALSE)</f>
        <v>#N/A</v>
      </c>
      <c r="M11" t="e">
        <f>VLOOKUP(M$2,Ингридиенты!$A$5:$H$9,7,FALSE)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Ингридиенты</vt:lpstr>
      <vt:lpstr>Зелья</vt:lpstr>
      <vt:lpstr>Дата сет</vt:lpstr>
      <vt:lpstr>Анализ зелий</vt:lpstr>
      <vt:lpstr>NPCs</vt:lpstr>
      <vt:lpstr>Анализ крафта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Petr_Velikij</dc:creator>
  <cp:lastModifiedBy>Petr_Velikij</cp:lastModifiedBy>
  <dcterms:created xsi:type="dcterms:W3CDTF">2025-02-20T13:11:56Z</dcterms:created>
  <dcterms:modified xsi:type="dcterms:W3CDTF">2025-05-20T13:19:56Z</dcterms:modified>
</cp:coreProperties>
</file>